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9E9DF030-FB31-41DB-810C-CFDCF9751BF7}" xr6:coauthVersionLast="47" xr6:coauthVersionMax="47" xr10:uidLastSave="{00000000-0000-0000-0000-000000000000}"/>
  <bookViews>
    <workbookView xWindow="-120" yWindow="-120" windowWidth="29040" windowHeight="15720" xr2:uid="{2555153A-87D7-4758-BC94-B6FF697C3BC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35" i="1" l="1"/>
  <c r="D35" i="1"/>
  <c r="E34" i="1"/>
  <c r="G34" i="1" s="1"/>
  <c r="E33" i="1"/>
  <c r="G33" i="1" s="1"/>
  <c r="E32" i="1"/>
  <c r="G32" i="1" s="1"/>
  <c r="E31" i="1"/>
  <c r="G31" i="1" s="1"/>
  <c r="E30" i="1"/>
  <c r="G30" i="1" s="1"/>
  <c r="E29" i="1"/>
  <c r="G29" i="1" s="1"/>
  <c r="E28" i="1"/>
  <c r="G28" i="1" s="1"/>
  <c r="E27" i="1"/>
  <c r="E35" i="1" s="1"/>
  <c r="F24" i="1"/>
  <c r="D24" i="1"/>
  <c r="E23" i="1"/>
  <c r="G23" i="1" s="1"/>
  <c r="E22" i="1"/>
  <c r="G22" i="1" s="1"/>
  <c r="E21" i="1"/>
  <c r="G21" i="1" s="1"/>
  <c r="E20" i="1"/>
  <c r="G20" i="1" s="1"/>
  <c r="E19" i="1"/>
  <c r="G19" i="1" s="1"/>
  <c r="E18" i="1"/>
  <c r="G18" i="1" s="1"/>
  <c r="E17" i="1"/>
  <c r="G17" i="1" s="1"/>
  <c r="E16" i="1"/>
  <c r="G16" i="1" s="1"/>
  <c r="E15" i="1"/>
  <c r="G15" i="1" s="1"/>
  <c r="F12" i="1"/>
  <c r="D12" i="1"/>
  <c r="E11" i="1"/>
  <c r="G11" i="1" s="1"/>
  <c r="E10" i="1"/>
  <c r="G10" i="1" s="1"/>
  <c r="E9" i="1"/>
  <c r="G9" i="1" s="1"/>
  <c r="E8" i="1"/>
  <c r="G8" i="1" s="1"/>
  <c r="E7" i="1"/>
  <c r="G7" i="1" s="1"/>
  <c r="E6" i="1"/>
  <c r="G6" i="1" s="1"/>
  <c r="E5" i="1"/>
  <c r="G5" i="1" s="1"/>
  <c r="E4" i="1"/>
  <c r="G4" i="1" s="1"/>
  <c r="E3" i="1"/>
  <c r="G3" i="1" s="1"/>
  <c r="E2" i="1"/>
  <c r="E12" i="1" s="1"/>
  <c r="G24" i="1" l="1"/>
  <c r="E24" i="1"/>
  <c r="G27" i="1"/>
  <c r="G35" i="1" s="1"/>
  <c r="G2" i="1"/>
  <c r="G12" i="1" s="1"/>
</calcChain>
</file>

<file path=xl/sharedStrings.xml><?xml version="1.0" encoding="utf-8"?>
<sst xmlns="http://schemas.openxmlformats.org/spreadsheetml/2006/main" count="78" uniqueCount="38">
  <si>
    <t>SUPERVISOR</t>
  </si>
  <si>
    <t>CÓDIGO</t>
  </si>
  <si>
    <t>VENDEDOR</t>
  </si>
  <si>
    <t>UNIVERSO</t>
  </si>
  <si>
    <t>OBJETIVO</t>
  </si>
  <si>
    <t>AVANCE</t>
  </si>
  <si>
    <t>FALTAN</t>
  </si>
  <si>
    <t>CLAUDIO</t>
  </si>
  <si>
    <t>MAXI VILLALBA</t>
  </si>
  <si>
    <t>FABIÁN OLIVARES</t>
  </si>
  <si>
    <t>ISMAEL ORDOÑEZ</t>
  </si>
  <si>
    <t>JULIÁN BALDO</t>
  </si>
  <si>
    <t>MANUEL BAZÁN</t>
  </si>
  <si>
    <t>NAHUEL NEIRA</t>
  </si>
  <si>
    <t>IGNACIO SCORRANI</t>
  </si>
  <si>
    <t>MAURI MARTÍNEZ</t>
  </si>
  <si>
    <t>SEBASTIÁN MERLO</t>
  </si>
  <si>
    <t>CANDE GONZÁLEZ</t>
  </si>
  <si>
    <t>TOTAL MESA</t>
  </si>
  <si>
    <t>NATALIA</t>
  </si>
  <si>
    <t>DIEGO CISTERNA</t>
  </si>
  <si>
    <t>DIANA ROMERO</t>
  </si>
  <si>
    <t>TOBÍAS MOREIRO</t>
  </si>
  <si>
    <t>MATÍAS MARTINEZ</t>
  </si>
  <si>
    <t>EZEQUIEL CARRIZO</t>
  </si>
  <si>
    <t>EFRAIM PULIDO</t>
  </si>
  <si>
    <t>LORENZO RIVARA</t>
  </si>
  <si>
    <t>OMAR DÍAZ</t>
  </si>
  <si>
    <t>SERGIO AVENDAÑO</t>
  </si>
  <si>
    <t>MARIANO</t>
  </si>
  <si>
    <t>VALERIA RESTIVO</t>
  </si>
  <si>
    <t>ALEXANDER RUEDA</t>
  </si>
  <si>
    <t>AGUSTÍN BERNAHOLA</t>
  </si>
  <si>
    <t>ROXANA OCHOA</t>
  </si>
  <si>
    <t>YANINA CACERES</t>
  </si>
  <si>
    <t>MARCELA SALDE</t>
  </si>
  <si>
    <t>JOHAN MORENO</t>
  </si>
  <si>
    <t>LUCIANA GONZÁLEZ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</si>
</sst>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/>
    </xf>
    <xf numFmtId="0" fontId="0" fillId="2" borderId="0" xfId="0" applyFill="1"/>
    <xf numFmtId="1" fontId="0" fillId="0" borderId="0" xfId="0" applyNumberFormat="1"/>
    <xf numFmtId="1" fontId="1" fillId="0" borderId="0" xfId="0" applyNumberFormat="1" applyFont="1"/>
    <xf numFmtId="0" fontId="1" fillId="2" borderId="0" xfId="0" applyFont="1" applyFill="1"/>
    <xf numFmtId="0" fontId="0" fillId="3" borderId="0" xfId="0" applyFill="1"/>
    <xf numFmtId="0" fontId="1" fillId="3" borderId="0" xfId="0" applyFont="1" applyFill="1"/>
    <xf numFmtId="0" fontId="0" fillId="4" borderId="0" xfId="0" applyFill="1"/>
    <xf numFmtId="0" fontId="1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BAA70-2AA5-4068-A48C-8933A6A1F672}">
  <dimension ref="A1:G35"/>
  <sheetViews>
    <sheetView tabSelected="1" workbookViewId="0">
      <selection sqref="A1:G35"/>
    </sheetView>
  </sheetViews>
  <sheetFormatPr baseColWidth="10"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2" t="s">
        <v>7</v>
      </c>
      <c r="B2">
        <v>31</v>
      </c>
      <c r="C2" t="s">
        <v>8</v>
      </c>
      <c r="D2">
        <v>238</v>
      </c>
      <c r="E2" s="3">
        <f>D2*0.9</f>
        <v>214.20000000000002</v>
      </c>
      <c r="F2">
        <v>82</v>
      </c>
      <c r="G2" s="4">
        <f>E2-F2</f>
        <v>132.20000000000002</v>
      </c>
    </row>
    <row r="3" spans="1:7" x14ac:dyDescent="0.25">
      <c r="A3" s="2" t="s">
        <v>7</v>
      </c>
      <c r="B3">
        <v>32</v>
      </c>
      <c r="C3" t="s">
        <v>9</v>
      </c>
      <c r="D3">
        <v>223</v>
      </c>
      <c r="E3" s="3">
        <f t="shared" ref="E3:E7" si="0">D3*0.9</f>
        <v>200.70000000000002</v>
      </c>
      <c r="F3">
        <v>45</v>
      </c>
      <c r="G3" s="4">
        <f t="shared" ref="G3:G11" si="1">E3-F3</f>
        <v>155.70000000000002</v>
      </c>
    </row>
    <row r="4" spans="1:7" x14ac:dyDescent="0.25">
      <c r="A4" s="2" t="s">
        <v>7</v>
      </c>
      <c r="B4">
        <v>33</v>
      </c>
      <c r="C4" t="s">
        <v>10</v>
      </c>
      <c r="D4">
        <v>239</v>
      </c>
      <c r="E4" s="3">
        <f t="shared" si="0"/>
        <v>215.1</v>
      </c>
      <c r="F4">
        <v>60</v>
      </c>
      <c r="G4" s="4">
        <f t="shared" si="1"/>
        <v>155.1</v>
      </c>
    </row>
    <row r="5" spans="1:7" x14ac:dyDescent="0.25">
      <c r="A5" s="2" t="s">
        <v>7</v>
      </c>
      <c r="B5">
        <v>34</v>
      </c>
      <c r="C5" t="s">
        <v>11</v>
      </c>
      <c r="D5">
        <v>224</v>
      </c>
      <c r="E5" s="3">
        <f t="shared" si="0"/>
        <v>201.6</v>
      </c>
      <c r="F5">
        <v>47</v>
      </c>
      <c r="G5" s="4">
        <f t="shared" si="1"/>
        <v>154.6</v>
      </c>
    </row>
    <row r="6" spans="1:7" x14ac:dyDescent="0.25">
      <c r="A6" s="2" t="s">
        <v>7</v>
      </c>
      <c r="B6">
        <v>35</v>
      </c>
      <c r="C6" t="s">
        <v>12</v>
      </c>
      <c r="D6">
        <v>261</v>
      </c>
      <c r="E6" s="3">
        <f>D6*0.85</f>
        <v>221.85</v>
      </c>
      <c r="F6">
        <v>77</v>
      </c>
      <c r="G6" s="4">
        <f t="shared" si="1"/>
        <v>144.85</v>
      </c>
    </row>
    <row r="7" spans="1:7" x14ac:dyDescent="0.25">
      <c r="A7" s="2" t="s">
        <v>7</v>
      </c>
      <c r="B7">
        <v>36</v>
      </c>
      <c r="C7" t="s">
        <v>13</v>
      </c>
      <c r="D7">
        <v>228</v>
      </c>
      <c r="E7" s="3">
        <f t="shared" si="0"/>
        <v>205.20000000000002</v>
      </c>
      <c r="F7">
        <v>72</v>
      </c>
      <c r="G7" s="4">
        <f t="shared" si="1"/>
        <v>133.20000000000002</v>
      </c>
    </row>
    <row r="8" spans="1:7" x14ac:dyDescent="0.25">
      <c r="A8" s="2" t="s">
        <v>7</v>
      </c>
      <c r="B8">
        <v>37</v>
      </c>
      <c r="C8" t="s">
        <v>14</v>
      </c>
      <c r="D8">
        <v>208</v>
      </c>
      <c r="E8" s="3">
        <f>D8*0.97</f>
        <v>201.76</v>
      </c>
      <c r="F8">
        <v>72</v>
      </c>
      <c r="G8" s="4">
        <f t="shared" si="1"/>
        <v>129.76</v>
      </c>
    </row>
    <row r="9" spans="1:7" x14ac:dyDescent="0.25">
      <c r="A9" s="2" t="s">
        <v>7</v>
      </c>
      <c r="B9">
        <v>38</v>
      </c>
      <c r="C9" t="s">
        <v>15</v>
      </c>
      <c r="D9">
        <v>287</v>
      </c>
      <c r="E9" s="3">
        <f>D9*0.78</f>
        <v>223.86</v>
      </c>
      <c r="F9">
        <v>89</v>
      </c>
      <c r="G9" s="4">
        <f t="shared" si="1"/>
        <v>134.86000000000001</v>
      </c>
    </row>
    <row r="10" spans="1:7" x14ac:dyDescent="0.25">
      <c r="A10" s="2" t="s">
        <v>7</v>
      </c>
      <c r="B10">
        <v>39</v>
      </c>
      <c r="C10" t="s">
        <v>16</v>
      </c>
      <c r="D10">
        <v>261</v>
      </c>
      <c r="E10" s="3">
        <f>D10*0.85</f>
        <v>221.85</v>
      </c>
      <c r="F10">
        <v>82</v>
      </c>
      <c r="G10" s="4">
        <f t="shared" si="1"/>
        <v>139.85</v>
      </c>
    </row>
    <row r="11" spans="1:7" x14ac:dyDescent="0.25">
      <c r="A11" s="2" t="s">
        <v>7</v>
      </c>
      <c r="B11">
        <v>51</v>
      </c>
      <c r="C11" t="s">
        <v>17</v>
      </c>
      <c r="D11">
        <v>195</v>
      </c>
      <c r="E11" s="3">
        <f>D11*0.99</f>
        <v>193.05</v>
      </c>
      <c r="F11">
        <v>87</v>
      </c>
      <c r="G11" s="4">
        <f t="shared" si="1"/>
        <v>106.05000000000001</v>
      </c>
    </row>
    <row r="12" spans="1:7" x14ac:dyDescent="0.25">
      <c r="A12" s="5" t="s">
        <v>18</v>
      </c>
      <c r="D12" s="3">
        <f>SUM(D2:D11)</f>
        <v>2364</v>
      </c>
      <c r="E12" s="3">
        <f t="shared" ref="E12:G12" si="2">SUM(E2:E11)</f>
        <v>2099.17</v>
      </c>
      <c r="F12" s="3">
        <f t="shared" si="2"/>
        <v>713</v>
      </c>
      <c r="G12" s="4">
        <f t="shared" si="2"/>
        <v>1386.1699999999998</v>
      </c>
    </row>
    <row r="14" spans="1:7" x14ac:dyDescent="0.25">
      <c r="A14" s="1" t="s">
        <v>0</v>
      </c>
      <c r="B14" s="1" t="s">
        <v>1</v>
      </c>
      <c r="C14" s="1" t="s">
        <v>2</v>
      </c>
      <c r="D14" s="1" t="s">
        <v>3</v>
      </c>
      <c r="E14" s="1" t="s">
        <v>4</v>
      </c>
      <c r="F14" s="1" t="s">
        <v>5</v>
      </c>
      <c r="G14" s="1" t="s">
        <v>6</v>
      </c>
    </row>
    <row r="15" spans="1:7" x14ac:dyDescent="0.25">
      <c r="A15" s="6" t="s">
        <v>19</v>
      </c>
      <c r="B15">
        <v>41</v>
      </c>
      <c r="C15" t="s">
        <v>20</v>
      </c>
      <c r="D15">
        <v>300</v>
      </c>
      <c r="E15" s="3">
        <f>D15*0.7</f>
        <v>210</v>
      </c>
      <c r="F15">
        <v>58</v>
      </c>
      <c r="G15" s="4">
        <f>E15-F15</f>
        <v>152</v>
      </c>
    </row>
    <row r="16" spans="1:7" x14ac:dyDescent="0.25">
      <c r="A16" s="6" t="s">
        <v>19</v>
      </c>
      <c r="B16">
        <v>45</v>
      </c>
      <c r="C16" t="s">
        <v>21</v>
      </c>
      <c r="D16">
        <v>329</v>
      </c>
      <c r="E16" s="3">
        <f>D16*0.67</f>
        <v>220.43</v>
      </c>
      <c r="F16">
        <v>67</v>
      </c>
      <c r="G16" s="4">
        <f t="shared" ref="G16:G23" si="3">E16-F16</f>
        <v>153.43</v>
      </c>
    </row>
    <row r="17" spans="1:7" x14ac:dyDescent="0.25">
      <c r="A17" s="6" t="s">
        <v>19</v>
      </c>
      <c r="B17">
        <v>49</v>
      </c>
      <c r="C17" t="s">
        <v>22</v>
      </c>
      <c r="D17">
        <v>306</v>
      </c>
      <c r="E17" s="3">
        <f>D17*0.68</f>
        <v>208.08</v>
      </c>
      <c r="F17">
        <v>51</v>
      </c>
      <c r="G17" s="4">
        <f t="shared" si="3"/>
        <v>157.08000000000001</v>
      </c>
    </row>
    <row r="18" spans="1:7" x14ac:dyDescent="0.25">
      <c r="A18" s="6" t="s">
        <v>19</v>
      </c>
      <c r="B18">
        <v>52</v>
      </c>
      <c r="C18" t="s">
        <v>23</v>
      </c>
      <c r="D18">
        <v>313</v>
      </c>
      <c r="E18" s="3">
        <f>D18*0.68</f>
        <v>212.84</v>
      </c>
      <c r="F18">
        <v>72</v>
      </c>
      <c r="G18" s="4">
        <f t="shared" si="3"/>
        <v>140.84</v>
      </c>
    </row>
    <row r="19" spans="1:7" x14ac:dyDescent="0.25">
      <c r="A19" s="6" t="s">
        <v>19</v>
      </c>
      <c r="B19">
        <v>53</v>
      </c>
      <c r="C19" t="s">
        <v>24</v>
      </c>
      <c r="D19">
        <v>295</v>
      </c>
      <c r="E19" s="3">
        <f>D19*0.73</f>
        <v>215.35</v>
      </c>
      <c r="F19">
        <v>63</v>
      </c>
      <c r="G19" s="4">
        <f t="shared" si="3"/>
        <v>152.35</v>
      </c>
    </row>
    <row r="20" spans="1:7" x14ac:dyDescent="0.25">
      <c r="A20" s="6" t="s">
        <v>19</v>
      </c>
      <c r="B20">
        <v>55</v>
      </c>
      <c r="C20" t="s">
        <v>25</v>
      </c>
      <c r="D20">
        <v>281</v>
      </c>
      <c r="E20" s="3">
        <f>D20*0.75</f>
        <v>210.75</v>
      </c>
      <c r="F20">
        <v>50</v>
      </c>
      <c r="G20" s="4">
        <f t="shared" si="3"/>
        <v>160.75</v>
      </c>
    </row>
    <row r="21" spans="1:7" x14ac:dyDescent="0.25">
      <c r="A21" s="6" t="s">
        <v>19</v>
      </c>
      <c r="B21">
        <v>56</v>
      </c>
      <c r="C21" t="s">
        <v>26</v>
      </c>
      <c r="D21">
        <v>266</v>
      </c>
      <c r="E21" s="3">
        <f>D21*0.8</f>
        <v>212.8</v>
      </c>
      <c r="F21">
        <v>45</v>
      </c>
      <c r="G21" s="4">
        <f t="shared" si="3"/>
        <v>167.8</v>
      </c>
    </row>
    <row r="22" spans="1:7" x14ac:dyDescent="0.25">
      <c r="A22" s="6" t="s">
        <v>19</v>
      </c>
      <c r="B22">
        <v>57</v>
      </c>
      <c r="C22" t="s">
        <v>27</v>
      </c>
      <c r="D22">
        <v>240</v>
      </c>
      <c r="E22" s="3">
        <f>D22*0.88</f>
        <v>211.2</v>
      </c>
      <c r="F22">
        <v>58</v>
      </c>
      <c r="G22" s="4">
        <f t="shared" si="3"/>
        <v>153.19999999999999</v>
      </c>
    </row>
    <row r="23" spans="1:7" x14ac:dyDescent="0.25">
      <c r="A23" s="6" t="s">
        <v>19</v>
      </c>
      <c r="B23">
        <v>59</v>
      </c>
      <c r="C23" t="s">
        <v>28</v>
      </c>
      <c r="D23">
        <v>269</v>
      </c>
      <c r="E23" s="3">
        <f>D23*0.78</f>
        <v>209.82</v>
      </c>
      <c r="F23">
        <v>44</v>
      </c>
      <c r="G23" s="4">
        <f t="shared" si="3"/>
        <v>165.82</v>
      </c>
    </row>
    <row r="24" spans="1:7" x14ac:dyDescent="0.25">
      <c r="A24" s="7" t="s">
        <v>18</v>
      </c>
      <c r="D24" s="3">
        <f>SUM(D15:D23)</f>
        <v>2599</v>
      </c>
      <c r="E24" s="3">
        <f t="shared" ref="E24:G24" si="4">SUM(E15:E23)</f>
        <v>1911.27</v>
      </c>
      <c r="F24" s="3">
        <f t="shared" si="4"/>
        <v>508</v>
      </c>
      <c r="G24" s="4">
        <f t="shared" si="4"/>
        <v>1403.27</v>
      </c>
    </row>
    <row r="26" spans="1:7" x14ac:dyDescent="0.25">
      <c r="A26" s="1" t="s">
        <v>0</v>
      </c>
      <c r="B26" s="1" t="s">
        <v>1</v>
      </c>
      <c r="C26" s="1" t="s">
        <v>2</v>
      </c>
      <c r="D26" s="1" t="s">
        <v>3</v>
      </c>
      <c r="E26" s="1" t="s">
        <v>4</v>
      </c>
      <c r="F26" s="1" t="s">
        <v>5</v>
      </c>
      <c r="G26" s="1" t="s">
        <v>6</v>
      </c>
    </row>
    <row r="27" spans="1:7" x14ac:dyDescent="0.25">
      <c r="A27" s="8" t="s">
        <v>29</v>
      </c>
      <c r="B27">
        <v>42</v>
      </c>
      <c r="C27" t="s">
        <v>30</v>
      </c>
      <c r="D27">
        <v>277</v>
      </c>
      <c r="E27" s="3">
        <f>D27*0.77</f>
        <v>213.29</v>
      </c>
      <c r="F27">
        <v>58</v>
      </c>
      <c r="G27" s="4">
        <f>E27-F27</f>
        <v>155.29</v>
      </c>
    </row>
    <row r="28" spans="1:7" x14ac:dyDescent="0.25">
      <c r="A28" s="8" t="s">
        <v>29</v>
      </c>
      <c r="B28">
        <v>43</v>
      </c>
      <c r="C28" t="s">
        <v>31</v>
      </c>
      <c r="D28">
        <v>274</v>
      </c>
      <c r="E28" s="3">
        <f>D28*0.77</f>
        <v>210.98000000000002</v>
      </c>
      <c r="F28">
        <v>62</v>
      </c>
      <c r="G28" s="4">
        <f t="shared" ref="G28:G34" si="5">E28-F28</f>
        <v>148.98000000000002</v>
      </c>
    </row>
    <row r="29" spans="1:7" x14ac:dyDescent="0.25">
      <c r="A29" s="8" t="s">
        <v>29</v>
      </c>
      <c r="B29">
        <v>44</v>
      </c>
      <c r="C29" t="s">
        <v>32</v>
      </c>
      <c r="D29">
        <v>312</v>
      </c>
      <c r="E29" s="3">
        <f>D29*0.69</f>
        <v>215.27999999999997</v>
      </c>
      <c r="F29">
        <v>55</v>
      </c>
      <c r="G29" s="4">
        <f t="shared" si="5"/>
        <v>160.27999999999997</v>
      </c>
    </row>
    <row r="30" spans="1:7" x14ac:dyDescent="0.25">
      <c r="A30" s="8" t="s">
        <v>29</v>
      </c>
      <c r="B30">
        <v>46</v>
      </c>
      <c r="C30" t="s">
        <v>33</v>
      </c>
      <c r="D30">
        <v>251</v>
      </c>
      <c r="E30" s="3">
        <f t="shared" ref="E30" si="6">D30*0.85</f>
        <v>213.35</v>
      </c>
      <c r="F30">
        <v>63</v>
      </c>
      <c r="G30" s="4">
        <f t="shared" si="5"/>
        <v>150.35</v>
      </c>
    </row>
    <row r="31" spans="1:7" x14ac:dyDescent="0.25">
      <c r="A31" s="8" t="s">
        <v>29</v>
      </c>
      <c r="B31">
        <v>47</v>
      </c>
      <c r="C31" t="s">
        <v>34</v>
      </c>
      <c r="D31">
        <v>279</v>
      </c>
      <c r="E31" s="3">
        <f>D31*0.77</f>
        <v>214.83</v>
      </c>
      <c r="F31">
        <v>52</v>
      </c>
      <c r="G31" s="4">
        <f t="shared" si="5"/>
        <v>162.83000000000001</v>
      </c>
    </row>
    <row r="32" spans="1:7" x14ac:dyDescent="0.25">
      <c r="A32" s="8" t="s">
        <v>29</v>
      </c>
      <c r="B32">
        <v>48</v>
      </c>
      <c r="C32" t="s">
        <v>35</v>
      </c>
      <c r="D32">
        <v>308</v>
      </c>
      <c r="E32" s="3">
        <f>D32*0.7</f>
        <v>215.6</v>
      </c>
      <c r="F32">
        <v>67</v>
      </c>
      <c r="G32" s="4">
        <f t="shared" si="5"/>
        <v>148.6</v>
      </c>
    </row>
    <row r="33" spans="1:7" x14ac:dyDescent="0.25">
      <c r="A33" s="8" t="s">
        <v>29</v>
      </c>
      <c r="B33">
        <v>54</v>
      </c>
      <c r="C33" t="s">
        <v>36</v>
      </c>
      <c r="D33">
        <v>304</v>
      </c>
      <c r="E33" s="3">
        <f>D33*0.7</f>
        <v>212.79999999999998</v>
      </c>
      <c r="F33">
        <v>66</v>
      </c>
      <c r="G33" s="4">
        <f t="shared" si="5"/>
        <v>146.79999999999998</v>
      </c>
    </row>
    <row r="34" spans="1:7" x14ac:dyDescent="0.25">
      <c r="A34" s="8" t="s">
        <v>29</v>
      </c>
      <c r="B34">
        <v>58</v>
      </c>
      <c r="C34" t="s">
        <v>37</v>
      </c>
      <c r="D34">
        <v>259</v>
      </c>
      <c r="E34" s="3">
        <f>D34*0.82</f>
        <v>212.38</v>
      </c>
      <c r="F34">
        <v>68</v>
      </c>
      <c r="G34" s="4">
        <f t="shared" si="5"/>
        <v>144.38</v>
      </c>
    </row>
    <row r="35" spans="1:7" x14ac:dyDescent="0.25">
      <c r="A35" s="9" t="s">
        <v>18</v>
      </c>
      <c r="D35" s="3">
        <f>SUM(D27:D34)</f>
        <v>2264</v>
      </c>
      <c r="E35" s="3">
        <f t="shared" ref="E35:G35" si="7">SUM(E27:E34)</f>
        <v>1708.5099999999998</v>
      </c>
      <c r="F35" s="3">
        <f t="shared" si="7"/>
        <v>491</v>
      </c>
      <c r="G35" s="4">
        <f t="shared" si="7"/>
        <v>1217.5100000000002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fabripaez098@gmail.com</dc:creator>
  <cp:lastModifiedBy>fabripaez098@gmail.com</cp:lastModifiedBy>
  <dcterms:created xsi:type="dcterms:W3CDTF">2026-04-14T19:45:26Z</dcterms:created>
  <dcterms:modified xsi:type="dcterms:W3CDTF">2026-04-14T19:45:37Z</dcterms:modified>
</cp:coreProperties>
</file>